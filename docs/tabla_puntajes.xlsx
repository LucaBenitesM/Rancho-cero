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g\Desktop\Camila\HACKATHON\"/>
    </mc:Choice>
  </mc:AlternateContent>
  <xr:revisionPtr revIDLastSave="0" documentId="8_{81FACDEA-D8C5-4AF4-8D00-C8872D61348A}" xr6:coauthVersionLast="47" xr6:coauthVersionMax="47" xr10:uidLastSave="{00000000-0000-0000-0000-000000000000}"/>
  <bookViews>
    <workbookView xWindow="-120" yWindow="-120" windowWidth="20730" windowHeight="11040" xr2:uid="{A3CDC40C-E1E9-46EF-836D-D9F114567A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F24" i="1"/>
  <c r="F23" i="1"/>
  <c r="F22" i="1"/>
  <c r="F21" i="1"/>
  <c r="F19" i="1"/>
  <c r="F18" i="1"/>
  <c r="F17" i="1"/>
  <c r="F16" i="1"/>
  <c r="F15" i="1"/>
  <c r="F13" i="1"/>
  <c r="F12" i="1"/>
  <c r="F10" i="1"/>
  <c r="F9" i="1"/>
  <c r="F8" i="1"/>
  <c r="F6" i="1"/>
  <c r="F5" i="1"/>
  <c r="F4" i="1"/>
  <c r="F3" i="1"/>
  <c r="F25" i="1" s="1"/>
  <c r="F27" i="1" s="1"/>
</calcChain>
</file>

<file path=xl/sharedStrings.xml><?xml version="1.0" encoding="utf-8"?>
<sst xmlns="http://schemas.openxmlformats.org/spreadsheetml/2006/main" count="67" uniqueCount="52">
  <si>
    <t xml:space="preserve">Item </t>
  </si>
  <si>
    <t>Categoría</t>
  </si>
  <si>
    <t>Clase</t>
  </si>
  <si>
    <t>Peso</t>
  </si>
  <si>
    <t>Puntuacion</t>
  </si>
  <si>
    <t>Total</t>
  </si>
  <si>
    <t>Criterio</t>
  </si>
  <si>
    <t>Materialidad</t>
  </si>
  <si>
    <t>Pared</t>
  </si>
  <si>
    <t>Paredes de chapa, madera, nylon, caña o cartón =3 material  sin revoque = 2, material con revoque = 1</t>
  </si>
  <si>
    <t>Techo</t>
  </si>
  <si>
    <t>Techo  de chapa o madera sin cielorraso ni aislación = 3, de chapa o madera con aislacion = 2, de material = 1</t>
  </si>
  <si>
    <t>Piso</t>
  </si>
  <si>
    <t>Piso de tierra = 3,, de material sin terminación = 2, de material revestido = 1</t>
  </si>
  <si>
    <t>Baño</t>
  </si>
  <si>
    <t>No tiene = 3, Tiene Incompleto o sin puerta  o es exterior = 2, Baño completo y con puerta = 1</t>
  </si>
  <si>
    <t>Habitabilidad</t>
  </si>
  <si>
    <t>M2 pp</t>
  </si>
  <si>
    <t>Menos de 5m2 por persona = 3, de 5 a 10m2  = 2, mas de 10m2 = 1</t>
  </si>
  <si>
    <t>Ventanas</t>
  </si>
  <si>
    <t>Sin Ventanas = 3, Ventanas insuficientes = 2, Ventanas suficientes = 1</t>
  </si>
  <si>
    <t>Separación de ambientes</t>
  </si>
  <si>
    <t>Sin separación = 3, Separación cortinas = 2, Separación puertas = 1</t>
  </si>
  <si>
    <t>Seguridad y salubridad</t>
  </si>
  <si>
    <t>Riesgo Derrumbre</t>
  </si>
  <si>
    <t>Riesgo de derrumbe o voladura del techo=3, paredes o techos muy rajados = 2, normales = 1</t>
  </si>
  <si>
    <t>Inundable</t>
  </si>
  <si>
    <t>Inundable = 3, presencia de plagas = 2, normal = 1</t>
  </si>
  <si>
    <t xml:space="preserve">Emergencia </t>
  </si>
  <si>
    <t>Salud</t>
  </si>
  <si>
    <t>Enfernedades</t>
  </si>
  <si>
    <t>Enfermedades o discapacidad grave = 3, Enfermedades o discapacidad media  = 2 Enfermedades o discapacidad leve = 1 Nada = 0</t>
  </si>
  <si>
    <t>Dimensión subjetiva y social</t>
  </si>
  <si>
    <t>Cantidad de menores de 12 a 18 años</t>
  </si>
  <si>
    <t xml:space="preserve">3 o mas = 3, 2 a 3 = 2, 1 = 1, sin niños = 0 </t>
  </si>
  <si>
    <t>Cantidad de menores de 5 años</t>
  </si>
  <si>
    <t>4 o mas = 3, 2 a 3 = 2, 1 = 1, sin niños = 0</t>
  </si>
  <si>
    <t>Cantidad de menores de 5 a 12 años</t>
  </si>
  <si>
    <t>5 o mas = 3, 2 a 3 = 2, 1 = 1, sin niños = 0</t>
  </si>
  <si>
    <t xml:space="preserve">Familia Monoparental </t>
  </si>
  <si>
    <t>Solo madre = 3, Solo padre = 2, Padre y madre = 1</t>
  </si>
  <si>
    <t xml:space="preserve">Dimensión Social </t>
  </si>
  <si>
    <t>Dimensión social</t>
  </si>
  <si>
    <t>Vinculo con la Organización</t>
  </si>
  <si>
    <t>Mas de 2 años = 3, de 1 a 2 años = 2, menos de 1 año = 1</t>
  </si>
  <si>
    <t xml:space="preserve">Impresion de 1er Visita </t>
  </si>
  <si>
    <t>Desalojo/ reincercion familiar</t>
  </si>
  <si>
    <t>Inmediato = 3, mediano plazo = 2, largo plazo = 1</t>
  </si>
  <si>
    <t xml:space="preserve">Adicionales </t>
  </si>
  <si>
    <t>TOTAL</t>
  </si>
  <si>
    <t>Maximo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</si>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</sst>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/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0841-DCD4-4874-BA40-AA2DDFF62D64}">
  <dimension ref="A1:G27"/>
  <sheetViews>
    <sheetView tabSelected="1" workbookViewId="0">
      <selection activeCell="O10" sqref="O10"/>
    </sheetView>
  </sheetViews>
  <sheetFormatPr baseColWidth="10"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x14ac:dyDescent="0.25">
      <c r="A2" s="7">
        <v>1</v>
      </c>
      <c r="B2" s="8" t="s">
        <v>7</v>
      </c>
      <c r="C2" s="9"/>
      <c r="D2" s="9"/>
      <c r="E2" s="9"/>
      <c r="F2" s="10"/>
      <c r="G2" s="11"/>
    </row>
    <row r="3" spans="1:7" x14ac:dyDescent="0.25">
      <c r="A3" s="11">
        <v>1.1000000000000001</v>
      </c>
      <c r="B3" s="11" t="s">
        <v>7</v>
      </c>
      <c r="C3" s="11" t="s">
        <v>8</v>
      </c>
      <c r="D3" s="12">
        <v>3</v>
      </c>
      <c r="E3" s="13"/>
      <c r="F3" s="14">
        <f t="shared" ref="F3:F6" si="0">D3*E3</f>
        <v>0</v>
      </c>
      <c r="G3" s="11" t="s">
        <v>9</v>
      </c>
    </row>
    <row r="4" spans="1:7" x14ac:dyDescent="0.25">
      <c r="A4" s="11">
        <v>1.2</v>
      </c>
      <c r="B4" s="11" t="s">
        <v>7</v>
      </c>
      <c r="C4" s="11" t="s">
        <v>10</v>
      </c>
      <c r="D4" s="12">
        <v>3</v>
      </c>
      <c r="E4" s="13"/>
      <c r="F4" s="14">
        <f t="shared" si="0"/>
        <v>0</v>
      </c>
      <c r="G4" s="11" t="s">
        <v>11</v>
      </c>
    </row>
    <row r="5" spans="1:7" x14ac:dyDescent="0.25">
      <c r="A5" s="11">
        <v>1.3</v>
      </c>
      <c r="B5" s="11" t="s">
        <v>7</v>
      </c>
      <c r="C5" s="11" t="s">
        <v>12</v>
      </c>
      <c r="D5" s="12">
        <v>3</v>
      </c>
      <c r="E5" s="13"/>
      <c r="F5" s="14">
        <f t="shared" si="0"/>
        <v>0</v>
      </c>
      <c r="G5" s="11" t="s">
        <v>13</v>
      </c>
    </row>
    <row r="6" spans="1:7" x14ac:dyDescent="0.25">
      <c r="A6" s="11">
        <v>1.4</v>
      </c>
      <c r="B6" s="11" t="s">
        <v>7</v>
      </c>
      <c r="C6" s="11" t="s">
        <v>14</v>
      </c>
      <c r="D6" s="12">
        <v>3</v>
      </c>
      <c r="E6" s="13"/>
      <c r="F6" s="14">
        <f t="shared" si="0"/>
        <v>0</v>
      </c>
      <c r="G6" s="11" t="s">
        <v>15</v>
      </c>
    </row>
    <row r="7" spans="1:7" x14ac:dyDescent="0.25">
      <c r="A7" s="7">
        <v>2</v>
      </c>
      <c r="B7" s="8" t="s">
        <v>16</v>
      </c>
      <c r="C7" s="9"/>
      <c r="D7" s="9"/>
      <c r="E7" s="9"/>
      <c r="F7" s="10"/>
      <c r="G7" s="11"/>
    </row>
    <row r="8" spans="1:7" x14ac:dyDescent="0.25">
      <c r="A8" s="11">
        <v>2.1</v>
      </c>
      <c r="B8" s="11" t="s">
        <v>16</v>
      </c>
      <c r="C8" s="11" t="s">
        <v>17</v>
      </c>
      <c r="D8" s="12">
        <v>2</v>
      </c>
      <c r="E8" s="13"/>
      <c r="F8" s="14">
        <f t="shared" ref="F8:F10" si="1">D8*E8</f>
        <v>0</v>
      </c>
      <c r="G8" s="11" t="s">
        <v>18</v>
      </c>
    </row>
    <row r="9" spans="1:7" x14ac:dyDescent="0.25">
      <c r="A9" s="11">
        <v>2.2000000000000002</v>
      </c>
      <c r="B9" s="11" t="s">
        <v>16</v>
      </c>
      <c r="C9" s="11" t="s">
        <v>19</v>
      </c>
      <c r="D9" s="12">
        <v>2</v>
      </c>
      <c r="E9" s="13"/>
      <c r="F9" s="14">
        <f t="shared" si="1"/>
        <v>0</v>
      </c>
      <c r="G9" s="11" t="s">
        <v>20</v>
      </c>
    </row>
    <row r="10" spans="1:7" x14ac:dyDescent="0.25">
      <c r="A10" s="11">
        <v>2.2999999999999998</v>
      </c>
      <c r="B10" s="11" t="s">
        <v>16</v>
      </c>
      <c r="C10" s="11" t="s">
        <v>21</v>
      </c>
      <c r="D10" s="12">
        <v>1</v>
      </c>
      <c r="E10" s="13"/>
      <c r="F10" s="14">
        <f t="shared" si="1"/>
        <v>0</v>
      </c>
      <c r="G10" s="11" t="s">
        <v>22</v>
      </c>
    </row>
    <row r="11" spans="1:7" x14ac:dyDescent="0.25">
      <c r="A11" s="7">
        <v>3</v>
      </c>
      <c r="B11" s="8" t="s">
        <v>23</v>
      </c>
      <c r="C11" s="9"/>
      <c r="D11" s="9"/>
      <c r="E11" s="9"/>
      <c r="F11" s="10"/>
      <c r="G11" s="11"/>
    </row>
    <row r="12" spans="1:7" x14ac:dyDescent="0.25">
      <c r="A12" s="11">
        <v>3.1</v>
      </c>
      <c r="B12" s="11" t="s">
        <v>23</v>
      </c>
      <c r="C12" s="11" t="s">
        <v>24</v>
      </c>
      <c r="D12" s="12">
        <v>3</v>
      </c>
      <c r="E12" s="13"/>
      <c r="F12" s="14">
        <f t="shared" ref="F12:F13" si="2">D12*E12</f>
        <v>0</v>
      </c>
      <c r="G12" s="11" t="s">
        <v>25</v>
      </c>
    </row>
    <row r="13" spans="1:7" x14ac:dyDescent="0.25">
      <c r="A13" s="11">
        <v>3.2</v>
      </c>
      <c r="B13" s="11" t="s">
        <v>23</v>
      </c>
      <c r="C13" s="11" t="s">
        <v>26</v>
      </c>
      <c r="D13" s="12">
        <v>3</v>
      </c>
      <c r="E13" s="13"/>
      <c r="F13" s="14">
        <f t="shared" si="2"/>
        <v>0</v>
      </c>
      <c r="G13" s="11" t="s">
        <v>27</v>
      </c>
    </row>
    <row r="14" spans="1:7" x14ac:dyDescent="0.25">
      <c r="A14" s="7">
        <v>4</v>
      </c>
      <c r="B14" s="8" t="s">
        <v>28</v>
      </c>
      <c r="C14" s="9"/>
      <c r="D14" s="9"/>
      <c r="E14" s="9"/>
      <c r="F14" s="10"/>
      <c r="G14" s="11"/>
    </row>
    <row r="15" spans="1:7" x14ac:dyDescent="0.25">
      <c r="A15" s="11">
        <v>4.0999999999999996</v>
      </c>
      <c r="B15" s="11" t="s">
        <v>29</v>
      </c>
      <c r="C15" s="11" t="s">
        <v>30</v>
      </c>
      <c r="D15" s="12">
        <v>3</v>
      </c>
      <c r="E15" s="13"/>
      <c r="F15" s="14">
        <f t="shared" ref="F15:F19" si="3">D15*E15</f>
        <v>0</v>
      </c>
      <c r="G15" s="11" t="s">
        <v>31</v>
      </c>
    </row>
    <row r="16" spans="1:7" x14ac:dyDescent="0.25">
      <c r="A16" s="11">
        <v>4.2</v>
      </c>
      <c r="B16" s="11" t="s">
        <v>32</v>
      </c>
      <c r="C16" s="11" t="s">
        <v>33</v>
      </c>
      <c r="D16" s="12">
        <v>1</v>
      </c>
      <c r="E16" s="13"/>
      <c r="F16" s="14">
        <f t="shared" si="3"/>
        <v>0</v>
      </c>
      <c r="G16" s="11" t="s">
        <v>34</v>
      </c>
    </row>
    <row r="17" spans="1:7" x14ac:dyDescent="0.25">
      <c r="A17" s="11">
        <v>4.3</v>
      </c>
      <c r="B17" s="11" t="s">
        <v>32</v>
      </c>
      <c r="C17" s="11" t="s">
        <v>35</v>
      </c>
      <c r="D17" s="12">
        <v>3</v>
      </c>
      <c r="E17" s="13"/>
      <c r="F17" s="14">
        <f t="shared" si="3"/>
        <v>0</v>
      </c>
      <c r="G17" s="11" t="s">
        <v>36</v>
      </c>
    </row>
    <row r="18" spans="1:7" x14ac:dyDescent="0.25">
      <c r="A18" s="11">
        <v>4.4000000000000004</v>
      </c>
      <c r="B18" s="11" t="s">
        <v>32</v>
      </c>
      <c r="C18" s="11" t="s">
        <v>37</v>
      </c>
      <c r="D18" s="12">
        <v>2</v>
      </c>
      <c r="E18" s="13"/>
      <c r="F18" s="14">
        <f t="shared" si="3"/>
        <v>0</v>
      </c>
      <c r="G18" s="11" t="s">
        <v>38</v>
      </c>
    </row>
    <row r="19" spans="1:7" x14ac:dyDescent="0.25">
      <c r="A19" s="11">
        <v>4.5</v>
      </c>
      <c r="B19" s="11" t="s">
        <v>32</v>
      </c>
      <c r="C19" s="11" t="s">
        <v>39</v>
      </c>
      <c r="D19" s="12">
        <v>2</v>
      </c>
      <c r="E19" s="13"/>
      <c r="F19" s="14">
        <f t="shared" si="3"/>
        <v>0</v>
      </c>
      <c r="G19" s="11" t="s">
        <v>40</v>
      </c>
    </row>
    <row r="20" spans="1:7" x14ac:dyDescent="0.25">
      <c r="A20" s="7">
        <v>5</v>
      </c>
      <c r="B20" s="8" t="s">
        <v>41</v>
      </c>
      <c r="C20" s="9"/>
      <c r="D20" s="9"/>
      <c r="E20" s="9"/>
      <c r="F20" s="10"/>
      <c r="G20" s="11"/>
    </row>
    <row r="21" spans="1:7" x14ac:dyDescent="0.25">
      <c r="A21" s="11">
        <v>5.0999999999999996</v>
      </c>
      <c r="B21" s="11" t="s">
        <v>42</v>
      </c>
      <c r="C21" s="11" t="s">
        <v>43</v>
      </c>
      <c r="D21" s="12">
        <v>3</v>
      </c>
      <c r="E21" s="13"/>
      <c r="F21" s="14">
        <f t="shared" ref="F21:F24" si="4">D21*E21</f>
        <v>0</v>
      </c>
      <c r="G21" s="11" t="s">
        <v>44</v>
      </c>
    </row>
    <row r="22" spans="1:7" x14ac:dyDescent="0.25">
      <c r="A22" s="11">
        <v>5.2</v>
      </c>
      <c r="B22" s="11" t="s">
        <v>42</v>
      </c>
      <c r="C22" s="11" t="s">
        <v>45</v>
      </c>
      <c r="D22" s="12">
        <v>3</v>
      </c>
      <c r="E22" s="13"/>
      <c r="F22" s="14">
        <f t="shared" si="4"/>
        <v>0</v>
      </c>
      <c r="G22" s="11"/>
    </row>
    <row r="23" spans="1:7" x14ac:dyDescent="0.25">
      <c r="A23" s="11">
        <v>5.3</v>
      </c>
      <c r="B23" s="11" t="s">
        <v>42</v>
      </c>
      <c r="C23" s="11" t="s">
        <v>46</v>
      </c>
      <c r="D23" s="12">
        <v>2</v>
      </c>
      <c r="E23" s="13"/>
      <c r="F23" s="14">
        <f t="shared" si="4"/>
        <v>0</v>
      </c>
      <c r="G23" s="11" t="s">
        <v>47</v>
      </c>
    </row>
    <row r="24" spans="1:7" x14ac:dyDescent="0.25">
      <c r="A24" s="11">
        <v>5.4</v>
      </c>
      <c r="B24" s="11" t="s">
        <v>42</v>
      </c>
      <c r="C24" s="11" t="s">
        <v>48</v>
      </c>
      <c r="D24" s="12">
        <v>3</v>
      </c>
      <c r="E24" s="13"/>
      <c r="F24" s="14">
        <f t="shared" si="4"/>
        <v>0</v>
      </c>
      <c r="G24" s="11"/>
    </row>
    <row r="25" spans="1:7" x14ac:dyDescent="0.25">
      <c r="A25" s="15"/>
      <c r="B25" s="15"/>
      <c r="C25" s="15"/>
      <c r="D25" s="16"/>
      <c r="E25" s="17" t="s">
        <v>49</v>
      </c>
      <c r="F25" s="17">
        <f>SUM(F3:F24)</f>
        <v>0</v>
      </c>
      <c r="G25" s="15"/>
    </row>
    <row r="26" spans="1:7" x14ac:dyDescent="0.25">
      <c r="A26" s="15"/>
      <c r="B26" s="15"/>
      <c r="C26" s="15"/>
      <c r="D26" s="16"/>
      <c r="E26" s="12" t="s">
        <v>50</v>
      </c>
      <c r="F26" s="12">
        <f>SUM(D3:D24)*3</f>
        <v>135</v>
      </c>
      <c r="G26" s="15"/>
    </row>
    <row r="27" spans="1:7" x14ac:dyDescent="0.25">
      <c r="A27" s="15"/>
      <c r="B27" s="15"/>
      <c r="C27" s="15"/>
      <c r="D27" s="16"/>
      <c r="E27" s="12" t="s">
        <v>51</v>
      </c>
      <c r="F27" s="18">
        <f>F25/F26</f>
        <v>0</v>
      </c>
      <c r="G27" s="15"/>
    </row>
  </sheetData>
  <dataValidations count="1">
    <dataValidation type="decimal" operator="lessThan" allowBlank="1" showDropDown="1" sqref="E3:E6 E8:E10 E12:E13 E15:E19 E21:E24" xr:uid="{71F2E86C-218E-48D6-8D8F-09508E04EEA4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Granato</dc:creator>
  <cp:lastModifiedBy>Camila Granato</cp:lastModifiedBy>
  <dcterms:created xsi:type="dcterms:W3CDTF">2026-10-17T15:47:36Z</dcterms:created>
  <dcterms:modified xsi:type="dcterms:W3CDTF">2026-10-17T15:48:04Z</dcterms:modified>
</cp:coreProperties>
</file>